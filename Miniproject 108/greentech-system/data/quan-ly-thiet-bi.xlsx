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  <sheet xmlns:r="http://schemas.openxmlformats.org/officeDocument/2006/relationships" name="Huong-dan" sheetId="3" state="visible" r:id="rId3"/>
  </sheets>
  <definedNames>
    <definedName name="_xlnm._FilterDatabase" localSheetId="0" hidden="1">'danh-muc-linh-kien'!$A$1:$D$11</definedName>
    <definedName name="_xlnm._FilterDatabase" localSheetId="1" hidden="1">'trang-thai-tram'!$A$1:$F$13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ngDanhMucLinhKien" displayName="BangDanhMucLinhKien" ref="A1:D11" headerRowCount="1">
  <autoFilter ref="A1:D11"/>
  <tableColumns count="4">
    <tableColumn id="1" name="ma_linh_kien"/>
    <tableColumn id="2" name="ten_thiet_bi"/>
    <tableColumn id="3" name="loai_thiet_bi"/>
    <tableColumn id="4" name="nha_san_xua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BangTrangThaiTram" displayName="BangTrangThaiTram" ref="A1:F13" headerRowCount="1">
  <autoFilter ref="A1:F13"/>
  <tableColumns count="6">
    <tableColumn id="1" name="ma_tram"/>
    <tableColumn id="2" name="ma_linh_kien"/>
    <tableColumn id="3" name="ten_thiet_bi"/>
    <tableColumn id="4" name="so_luong"/>
    <tableColumn id="5" name="trang_thai"/>
    <tableColumn id="6" name="ghi_chu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</cols>
  <sheetData>
    <row r="1" ht="30" customHeight="1">
      <c r="A1" s="1" t="inlineStr">
        <is>
          <t>ma_linh_kien</t>
        </is>
      </c>
      <c r="B1" s="1" t="inlineStr">
        <is>
          <t>ten_thiet_bi</t>
        </is>
      </c>
      <c r="C1" s="1" t="inlineStr">
        <is>
          <t>loai_thiet_bi</t>
        </is>
      </c>
      <c r="D1" s="1" t="inlineStr">
        <is>
          <t>nha_san_xuat</t>
        </is>
      </c>
    </row>
    <row r="2">
      <c r="A2" s="2" t="inlineStr">
        <is>
          <t>MK01</t>
        </is>
      </c>
      <c r="B2" s="2" t="inlineStr">
        <is>
          <t>Cảm biến nhiệt độ</t>
        </is>
      </c>
      <c r="C2" s="2" t="inlineStr">
        <is>
          <t>Cảm biến IoT</t>
        </is>
      </c>
      <c r="D2" s="2" t="inlineStr">
        <is>
          <t>GreenSense</t>
        </is>
      </c>
    </row>
    <row r="3">
      <c r="A3" s="2" t="inlineStr">
        <is>
          <t>MK02</t>
        </is>
      </c>
      <c r="B3" s="2" t="inlineStr">
        <is>
          <t>Cảm biến độ ẩm đất</t>
        </is>
      </c>
      <c r="C3" s="2" t="inlineStr">
        <is>
          <t>Cảm biến IoT</t>
        </is>
      </c>
      <c r="D3" s="2" t="inlineStr">
        <is>
          <t>AgriTech</t>
        </is>
      </c>
    </row>
    <row r="4">
      <c r="A4" s="2" t="inlineStr">
        <is>
          <t>MK03</t>
        </is>
      </c>
      <c r="B4" s="2" t="inlineStr">
        <is>
          <t>Bộ định tuyến mạng</t>
        </is>
      </c>
      <c r="C4" s="2" t="inlineStr">
        <is>
          <t>Thiết bị mạng</t>
        </is>
      </c>
      <c r="D4" s="2" t="inlineStr">
        <is>
          <t>NetCore</t>
        </is>
      </c>
    </row>
    <row r="5">
      <c r="A5" s="2" t="inlineStr">
        <is>
          <t>MK04</t>
        </is>
      </c>
      <c r="B5" s="2" t="inlineStr">
        <is>
          <t>Bộ điều khiển trung tâm</t>
        </is>
      </c>
      <c r="C5" s="2" t="inlineStr">
        <is>
          <t>Bộ điều khiển</t>
        </is>
      </c>
      <c r="D5" s="2" t="inlineStr">
        <is>
          <t>GreenSense</t>
        </is>
      </c>
    </row>
    <row r="6">
      <c r="A6" s="2" t="inlineStr">
        <is>
          <t>MK05</t>
        </is>
      </c>
      <c r="B6" s="2" t="inlineStr">
        <is>
          <t>Tấm pin năng lượng mặt trời</t>
        </is>
      </c>
      <c r="C6" s="2" t="inlineStr">
        <is>
          <t>Nguồn điện</t>
        </is>
      </c>
      <c r="D6" s="2" t="inlineStr">
        <is>
          <t>SolarWorks</t>
        </is>
      </c>
    </row>
    <row r="7">
      <c r="A7" s="2" t="inlineStr">
        <is>
          <t>MK06</t>
        </is>
      </c>
      <c r="B7" s="2" t="inlineStr">
        <is>
          <t>Bộ lưu điện dự phòng</t>
        </is>
      </c>
      <c r="C7" s="2" t="inlineStr">
        <is>
          <t>Nguồn điện</t>
        </is>
      </c>
      <c r="D7" s="2" t="inlineStr">
        <is>
          <t>PowerSafe</t>
        </is>
      </c>
    </row>
    <row r="8">
      <c r="A8" s="2" t="inlineStr">
        <is>
          <t>MK07</t>
        </is>
      </c>
      <c r="B8" s="2" t="inlineStr">
        <is>
          <t>Camera giám sát</t>
        </is>
      </c>
      <c r="C8" s="2" t="inlineStr">
        <is>
          <t>Thiết bị giám sát</t>
        </is>
      </c>
      <c r="D8" s="2" t="inlineStr">
        <is>
          <t>VisionPro</t>
        </is>
      </c>
    </row>
    <row r="9">
      <c r="A9" s="2" t="inlineStr">
        <is>
          <t>MK08</t>
        </is>
      </c>
      <c r="B9" s="2" t="inlineStr">
        <is>
          <t>Cổng kết nối IoT</t>
        </is>
      </c>
      <c r="C9" s="2" t="inlineStr">
        <is>
          <t>Thiết bị mạng</t>
        </is>
      </c>
      <c r="D9" s="2" t="inlineStr">
        <is>
          <t>NetCore</t>
        </is>
      </c>
    </row>
    <row r="10">
      <c r="A10" s="2" t="inlineStr">
        <is>
          <t>MK09</t>
        </is>
      </c>
      <c r="B10" s="2" t="inlineStr">
        <is>
          <t>Cảm biến ánh sáng</t>
        </is>
      </c>
      <c r="C10" s="2" t="inlineStr">
        <is>
          <t>Cảm biến IoT</t>
        </is>
      </c>
      <c r="D10" s="2" t="inlineStr">
        <is>
          <t>AgriTech</t>
        </is>
      </c>
    </row>
    <row r="11">
      <c r="A11" s="2" t="inlineStr">
        <is>
          <t>MK10</t>
        </is>
      </c>
      <c r="B11" s="2" t="inlineStr">
        <is>
          <t>Ăng-ten truyền tín hiệu</t>
        </is>
      </c>
      <c r="C11" s="2" t="inlineStr">
        <is>
          <t>Thiết bị mạng</t>
        </is>
      </c>
      <c r="D11" s="2" t="inlineStr">
        <is>
          <t>NetCore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4" customWidth="1" min="4" max="4"/>
    <col width="16" customWidth="1" min="5" max="5"/>
    <col width="38" customWidth="1" min="6" max="6"/>
  </cols>
  <sheetData>
    <row r="1" ht="30" customHeight="1">
      <c r="A1" s="1" t="inlineStr">
        <is>
          <t>ma_tram</t>
        </is>
      </c>
      <c r="B1" s="1" t="inlineStr">
        <is>
          <t>ma_linh_kien</t>
        </is>
      </c>
      <c r="C1" s="1" t="inlineStr">
        <is>
          <t>ten_thiet_bi</t>
        </is>
      </c>
      <c r="D1" s="1" t="inlineStr">
        <is>
          <t>so_luong</t>
        </is>
      </c>
      <c r="E1" s="1" t="inlineStr">
        <is>
          <t>trang_thai</t>
        </is>
      </c>
      <c r="F1" s="1" t="inlineStr">
        <is>
          <t>ghi_chu</t>
        </is>
      </c>
    </row>
    <row r="2">
      <c r="A2" s="2" t="inlineStr">
        <is>
          <t>TRAM001</t>
        </is>
      </c>
      <c r="B2" s="2" t="inlineStr">
        <is>
          <t xml:space="preserve">MK01 </t>
        </is>
      </c>
      <c r="C2" s="2">
        <f>IFERROR(VLOOKUP(TRIM(B2),'danh-muc-linh-kien'!$A$2:$D$11,2,FALSE),"Không tìm thấy mã")</f>
        <v/>
      </c>
      <c r="D2" s="2" t="n">
        <v>2</v>
      </c>
      <c r="E2" s="2" t="inlineStr">
        <is>
          <t>Hoạt động</t>
        </is>
      </c>
      <c r="F2" s="2" t="inlineStr">
        <is>
          <t>Mã có khoảng trắng thừa để kiểm tra TRIM</t>
        </is>
      </c>
    </row>
    <row r="3">
      <c r="A3" s="2" t="inlineStr">
        <is>
          <t>TRAM002</t>
        </is>
      </c>
      <c r="B3" s="2" t="inlineStr">
        <is>
          <t>MK02</t>
        </is>
      </c>
      <c r="C3" s="2">
        <f>IFERROR(VLOOKUP(TRIM(B3),'danh-muc-linh-kien'!$A$2:$D$11,2,FALSE),"Không tìm thấy mã")</f>
        <v/>
      </c>
      <c r="D3" s="2" t="n">
        <v>2</v>
      </c>
      <c r="E3" s="2" t="inlineStr">
        <is>
          <t>Hoạt động</t>
        </is>
      </c>
      <c r="F3" s="2" t="inlineStr"/>
    </row>
    <row r="4">
      <c r="A4" s="2" t="inlineStr">
        <is>
          <t>TRAM003</t>
        </is>
      </c>
      <c r="B4" s="2" t="inlineStr">
        <is>
          <t>MK03</t>
        </is>
      </c>
      <c r="C4" s="2">
        <f>IFERROR(VLOOKUP(TRIM(B4),'danh-muc-linh-kien'!$A$2:$D$11,2,FALSE),"Không tìm thấy mã")</f>
        <v/>
      </c>
      <c r="D4" s="2" t="n">
        <v>1</v>
      </c>
      <c r="E4" s="2" t="inlineStr">
        <is>
          <t>Cần kiểm tra</t>
        </is>
      </c>
      <c r="F4" s="2" t="inlineStr">
        <is>
          <t>Tín hiệu mạng không ổn định</t>
        </is>
      </c>
    </row>
    <row r="5">
      <c r="A5" s="2" t="inlineStr">
        <is>
          <t>TRAM004</t>
        </is>
      </c>
      <c r="B5" s="2" t="inlineStr">
        <is>
          <t>MK04</t>
        </is>
      </c>
      <c r="C5" s="2">
        <f>IFERROR(VLOOKUP(TRIM(B5),'danh-muc-linh-kien'!$A$2:$D$11,2,FALSE),"Không tìm thấy mã")</f>
        <v/>
      </c>
      <c r="D5" s="2" t="n">
        <v>1</v>
      </c>
      <c r="E5" s="2" t="inlineStr">
        <is>
          <t>Hoạt động</t>
        </is>
      </c>
      <c r="F5" s="2" t="inlineStr"/>
    </row>
    <row r="6">
      <c r="A6" s="2" t="inlineStr">
        <is>
          <t>TRAM005</t>
        </is>
      </c>
      <c r="B6" s="2" t="inlineStr">
        <is>
          <t>MK05</t>
        </is>
      </c>
      <c r="C6" s="2">
        <f>IFERROR(VLOOKUP(TRIM(B6),'danh-muc-linh-kien'!$A$2:$D$11,2,FALSE),"Không tìm thấy mã")</f>
        <v/>
      </c>
      <c r="D6" s="2" t="n">
        <v>4</v>
      </c>
      <c r="E6" s="2" t="inlineStr">
        <is>
          <t>Hoạt động</t>
        </is>
      </c>
      <c r="F6" s="2" t="inlineStr"/>
    </row>
    <row r="7">
      <c r="A7" s="2" t="inlineStr">
        <is>
          <t>TRAM006</t>
        </is>
      </c>
      <c r="B7" s="2" t="inlineStr">
        <is>
          <t>MK06</t>
        </is>
      </c>
      <c r="C7" s="2">
        <f>IFERROR(VLOOKUP(TRIM(B7),'danh-muc-linh-kien'!$A$2:$D$11,2,FALSE),"Không tìm thấy mã")</f>
        <v/>
      </c>
      <c r="D7" s="2" t="n">
        <v>1</v>
      </c>
      <c r="E7" s="2" t="inlineStr">
        <is>
          <t>Bảo trì</t>
        </is>
      </c>
      <c r="F7" s="2" t="inlineStr">
        <is>
          <t>Kiểm tra pin dự phòng</t>
        </is>
      </c>
    </row>
    <row r="8">
      <c r="A8" s="2" t="inlineStr">
        <is>
          <t>TRAM007</t>
        </is>
      </c>
      <c r="B8" s="2" t="inlineStr">
        <is>
          <t>MK07</t>
        </is>
      </c>
      <c r="C8" s="2">
        <f>IFERROR(VLOOKUP(TRIM(B8),'danh-muc-linh-kien'!$A$2:$D$11,2,FALSE),"Không tìm thấy mã")</f>
        <v/>
      </c>
      <c r="D8" s="2" t="n">
        <v>2</v>
      </c>
      <c r="E8" s="2" t="inlineStr">
        <is>
          <t>Hoạt động</t>
        </is>
      </c>
      <c r="F8" s="2" t="inlineStr"/>
    </row>
    <row r="9">
      <c r="A9" s="2" t="inlineStr">
        <is>
          <t>TRAM008</t>
        </is>
      </c>
      <c r="B9" s="2" t="inlineStr">
        <is>
          <t>MK08</t>
        </is>
      </c>
      <c r="C9" s="2">
        <f>IFERROR(VLOOKUP(TRIM(B9),'danh-muc-linh-kien'!$A$2:$D$11,2,FALSE),"Không tìm thấy mã")</f>
        <v/>
      </c>
      <c r="D9" s="2" t="n">
        <v>1</v>
      </c>
      <c r="E9" s="2" t="inlineStr">
        <is>
          <t>Hoạt động</t>
        </is>
      </c>
      <c r="F9" s="2" t="inlineStr"/>
    </row>
    <row r="10">
      <c r="A10" s="2" t="inlineStr">
        <is>
          <t>TRAM009</t>
        </is>
      </c>
      <c r="B10" s="2" t="inlineStr">
        <is>
          <t xml:space="preserve">MK09 </t>
        </is>
      </c>
      <c r="C10" s="2">
        <f>IFERROR(VLOOKUP(TRIM(B10),'danh-muc-linh-kien'!$A$2:$D$11,2,FALSE),"Không tìm thấy mã")</f>
        <v/>
      </c>
      <c r="D10" s="2" t="n">
        <v>3</v>
      </c>
      <c r="E10" s="2" t="inlineStr">
        <is>
          <t>Cần kiểm tra</t>
        </is>
      </c>
      <c r="F10" s="2" t="inlineStr">
        <is>
          <t>Mã có khoảng trắng thừa để kiểm tra TRIM</t>
        </is>
      </c>
    </row>
    <row r="11">
      <c r="A11" s="2" t="inlineStr">
        <is>
          <t>TRAM010</t>
        </is>
      </c>
      <c r="B11" s="2" t="inlineStr">
        <is>
          <t>MK10</t>
        </is>
      </c>
      <c r="C11" s="2">
        <f>IFERROR(VLOOKUP(TRIM(B11),'danh-muc-linh-kien'!$A$2:$D$11,2,FALSE),"Không tìm thấy mã")</f>
        <v/>
      </c>
      <c r="D11" s="2" t="n">
        <v>1</v>
      </c>
      <c r="E11" s="2" t="inlineStr">
        <is>
          <t>Hoạt động</t>
        </is>
      </c>
      <c r="F11" s="2" t="inlineStr"/>
    </row>
    <row r="12">
      <c r="A12" s="2" t="inlineStr">
        <is>
          <t>TRAM011</t>
        </is>
      </c>
      <c r="B12" s="2" t="inlineStr">
        <is>
          <t>MK99</t>
        </is>
      </c>
      <c r="C12" s="2">
        <f>IFERROR(VLOOKUP(TRIM(B12),'danh-muc-linh-kien'!$A$2:$D$11,2,FALSE),"Không tìm thấy mã")</f>
        <v/>
      </c>
      <c r="D12" s="2" t="n">
        <v>1</v>
      </c>
      <c r="E12" s="2" t="inlineStr">
        <is>
          <t>Chưa đối soát</t>
        </is>
      </c>
      <c r="F12" s="2" t="inlineStr">
        <is>
          <t>Mã MK99 không có trong danh mục mẫu</t>
        </is>
      </c>
    </row>
    <row r="13">
      <c r="A13" s="2" t="inlineStr">
        <is>
          <t>TRAM012</t>
        </is>
      </c>
      <c r="B13" s="2" t="inlineStr">
        <is>
          <t xml:space="preserve"> MK01</t>
        </is>
      </c>
      <c r="C13" s="2">
        <f>IFERROR(VLOOKUP(TRIM(B13),'danh-muc-linh-kien'!$A$2:$D$11,2,FALSE),"Không tìm thấy mã")</f>
        <v/>
      </c>
      <c r="D13" s="2" t="n">
        <v>2</v>
      </c>
      <c r="E13" s="2" t="inlineStr">
        <is>
          <t>Hoạt động</t>
        </is>
      </c>
      <c r="F13" s="2" t="inlineStr">
        <is>
          <t>Mã có khoảng trắng đầu chuỗi</t>
        </is>
      </c>
    </row>
  </sheetData>
  <autoFilter ref="A1:F13"/>
  <conditionalFormatting sqref="C2:C13">
    <cfRule type="cellIs" priority="1" operator="equal" dxfId="0">
      <formula>"Không tìm thấy mã"</formula>
    </cfRule>
  </conditionalFormatting>
  <dataValidations count="1">
    <dataValidation sqref="E2:E13" showDropDown="0" showInputMessage="0" showErrorMessage="0" allowBlank="0" errorTitle="Trạng thái không hợp lệ" error="Hãy chọn một trạng thái trong danh sách." promptTitle="Trạng thái" prompt="Chọn trạng thái của trạm." type="list">
      <formula1>"Hoạt động,Cần kiểm tra,Bảo trì,Chưa đối soát"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6" customHeight="1">
      <c r="A1" s="3" t="inlineStr">
        <is>
          <t>HƯỚNG DẪN SỬ DỤNG FILE ĐỐI SOÁT TÀI NGUYÊN GREENTECH</t>
        </is>
      </c>
    </row>
    <row r="2">
      <c r="A2" s="4" t="inlineStr">
        <is>
          <t>Mục</t>
        </is>
      </c>
      <c r="B2" s="4" t="inlineStr">
        <is>
          <t>Nội dung</t>
        </is>
      </c>
    </row>
    <row r="3">
      <c r="A3" s="2" t="inlineStr">
        <is>
          <t>1. Sheet danh-muc-linh-kien</t>
        </is>
      </c>
      <c r="B3" s="2" t="inlineStr">
        <is>
          <t>Danh mục chuẩn gồm mã linh kiện, tên thiết bị, loại thiết bị và nhà sản xuất.</t>
        </is>
      </c>
    </row>
    <row r="4">
      <c r="A4" s="2" t="inlineStr">
        <is>
          <t>2. Sheet trang-thai-tram</t>
        </is>
      </c>
      <c r="B4" s="2" t="inlineStr">
        <is>
          <t>Danh sách thiết bị ghi nhận tại từng trạm IoT; cột tên thiết bị được tự động tra cứu.</t>
        </is>
      </c>
    </row>
    <row r="5">
      <c r="A5" s="2" t="inlineStr">
        <is>
          <t>3. Công thức tra cứu</t>
        </is>
      </c>
      <c r="B5" s="2">
        <f>IFERROR(VLOOKUP(TRIM(B2),'danh-muc-linh-kien'!$A$2:$D$11,2,FALSE),"Không tìm thấy mã")</f>
        <v/>
      </c>
    </row>
    <row r="6">
      <c r="A6" s="2" t="inlineStr">
        <is>
          <t>4. TRIM</t>
        </is>
      </c>
      <c r="B6" s="2" t="inlineStr">
        <is>
          <t>Loại bỏ khoảng trắng ở đầu/cuối mã trước khi tra cứu.</t>
        </is>
      </c>
    </row>
    <row r="7">
      <c r="A7" s="2" t="inlineStr">
        <is>
          <t>5. VLOOKUP</t>
        </is>
      </c>
      <c r="B7" s="2" t="inlineStr">
        <is>
          <t>Dò mã chính xác ở cột đầu tiên của danh mục và trả về tên thiết bị ở cột thứ 2.</t>
        </is>
      </c>
    </row>
    <row r="8">
      <c r="A8" s="2" t="inlineStr">
        <is>
          <t>6. IFERROR</t>
        </is>
      </c>
      <c r="B8" s="2" t="inlineStr">
        <is>
          <t>Hiển thị thông báo dễ hiểu nếu mã không tồn tại, thay vì để lỗi #N/A xuất hiện.</t>
        </is>
      </c>
    </row>
    <row r="9">
      <c r="A9" s="2" t="inlineStr">
        <is>
          <t>7. Dữ liệu mẫu</t>
        </is>
      </c>
      <c r="B9" s="2" t="inlineStr">
        <is>
          <t>TRAM011 có mã MK99 không tồn tại trong danh mục để minh họa trường hợp cần đối soát.</t>
        </is>
      </c>
    </row>
    <row r="10">
      <c r="A10" s="2" t="inlineStr">
        <is>
          <t>8. Cách mở rộng</t>
        </is>
      </c>
      <c r="B10" s="2" t="inlineStr">
        <is>
          <t>Thêm linh kiện mới ở cuối bảng danh mục; thêm trạm mới ở cuối bảng trạng thái và sao chép công thức ở cột ten_thiet_bi.</t>
        </is>
      </c>
    </row>
    <row r="11">
      <c r="A11" s="2" t="inlineStr">
        <is>
          <t>Lưu ý</t>
        </is>
      </c>
      <c r="B11" s="2" t="inlineStr">
        <is>
          <t>Tên sheet trong công thức phải khớp chính xác với tên sheet trong workbook. Không gộp ô (Merge Cells) trong vùng dữ liệu.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2026-10-13T15:28:45Z</dcterms:created>
  <dcterms:modified xmlns:dcterms="http://purl.org/dc/terms/" xmlns:xsi="http://www.w3.org/2001/XMLSchema-instance" xsi:type="dcterms:W3CDTF">2026-10-13T15:28:45Z</dcterms:modified>
</cp:coreProperties>
</file>